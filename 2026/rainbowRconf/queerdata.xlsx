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4216318/Desktop/rainbowRconf/"/>
    </mc:Choice>
  </mc:AlternateContent>
  <xr:revisionPtr revIDLastSave="0" documentId="8_{7925AFDB-9048-8748-99BC-1FD0C4FE6A8B}" xr6:coauthVersionLast="47" xr6:coauthVersionMax="47" xr10:uidLastSave="{00000000-0000-0000-0000-000000000000}"/>
  <bookViews>
    <workbookView xWindow="3080" yWindow="2200" windowWidth="28040" windowHeight="17180" xr2:uid="{F579078A-D50C-9E41-BBDC-40BDCFED50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F11" i="1"/>
  <c r="G11" i="1"/>
  <c r="G17" i="1" s="1"/>
  <c r="H11" i="1"/>
  <c r="H17" i="1" s="1"/>
  <c r="I11" i="1"/>
  <c r="I17" i="1" s="1"/>
  <c r="J11" i="1"/>
  <c r="J17" i="1" s="1"/>
  <c r="K11" i="1"/>
  <c r="L11" i="1"/>
  <c r="C12" i="1"/>
  <c r="D12" i="1"/>
  <c r="E12" i="1"/>
  <c r="F12" i="1"/>
  <c r="G12" i="1"/>
  <c r="H12" i="1"/>
  <c r="I12" i="1"/>
  <c r="J12" i="1"/>
  <c r="K12" i="1"/>
  <c r="L12" i="1"/>
  <c r="C13" i="1"/>
  <c r="D13" i="1"/>
  <c r="E13" i="1"/>
  <c r="F13" i="1"/>
  <c r="G13" i="1"/>
  <c r="H13" i="1"/>
  <c r="I13" i="1"/>
  <c r="J13" i="1"/>
  <c r="K13" i="1"/>
  <c r="L13" i="1"/>
  <c r="C14" i="1"/>
  <c r="C17" i="1" s="1"/>
  <c r="D14" i="1"/>
  <c r="D17" i="1" s="1"/>
  <c r="E14" i="1"/>
  <c r="F14" i="1"/>
  <c r="G14" i="1"/>
  <c r="H14" i="1"/>
  <c r="I14" i="1"/>
  <c r="J14" i="1"/>
  <c r="K14" i="1"/>
  <c r="K17" i="1" s="1"/>
  <c r="L14" i="1"/>
  <c r="L17" i="1" s="1"/>
  <c r="C15" i="1"/>
  <c r="D15" i="1"/>
  <c r="E15" i="1"/>
  <c r="F15" i="1"/>
  <c r="G15" i="1"/>
  <c r="H15" i="1"/>
  <c r="I15" i="1"/>
  <c r="J15" i="1"/>
  <c r="K15" i="1"/>
  <c r="L15" i="1"/>
  <c r="C16" i="1"/>
  <c r="D16" i="1"/>
  <c r="E16" i="1"/>
  <c r="F16" i="1"/>
  <c r="G16" i="1"/>
  <c r="H16" i="1"/>
  <c r="I16" i="1"/>
  <c r="J16" i="1"/>
  <c r="K16" i="1"/>
  <c r="L16" i="1"/>
  <c r="E17" i="1"/>
  <c r="F17" i="1"/>
  <c r="B17" i="1"/>
  <c r="B12" i="1"/>
  <c r="B13" i="1"/>
  <c r="B14" i="1"/>
  <c r="B15" i="1"/>
  <c r="B16" i="1"/>
  <c r="B11" i="1"/>
</calcChain>
</file>

<file path=xl/sharedStrings.xml><?xml version="1.0" encoding="utf-8"?>
<sst xmlns="http://schemas.openxmlformats.org/spreadsheetml/2006/main" count="38" uniqueCount="19">
  <si>
    <t>Group</t>
  </si>
  <si>
    <t>Cis-hetero</t>
  </si>
  <si>
    <t>L</t>
  </si>
  <si>
    <t>H</t>
  </si>
  <si>
    <t>B+</t>
  </si>
  <si>
    <t>T</t>
  </si>
  <si>
    <t>N</t>
  </si>
  <si>
    <t>I</t>
  </si>
  <si>
    <t>Q</t>
  </si>
  <si>
    <t>A</t>
  </si>
  <si>
    <t>KM</t>
  </si>
  <si>
    <t>B</t>
  </si>
  <si>
    <t>18-30 jaar</t>
  </si>
  <si>
    <t>30-40 jaar</t>
  </si>
  <si>
    <t>40-50 jaar</t>
  </si>
  <si>
    <t>50-60 jaar</t>
  </si>
  <si>
    <t>60-70 jaar</t>
  </si>
  <si>
    <t>&gt;70 jaar</t>
  </si>
  <si>
    <t>respondenten totaal in groep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</si>
</sst>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A522F-3A81-D34E-AC39-8E873FF1DD5D}">
  <dimension ref="A1:L17"/>
  <sheetViews>
    <sheetView tabSelected="1" workbookViewId="0">
      <selection activeCell="A10" sqref="A10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10</v>
      </c>
      <c r="C2">
        <v>22</v>
      </c>
      <c r="D2">
        <v>12</v>
      </c>
      <c r="E2">
        <v>26</v>
      </c>
      <c r="F2">
        <v>55</v>
      </c>
      <c r="G2">
        <v>48</v>
      </c>
      <c r="H2">
        <v>4</v>
      </c>
      <c r="I2">
        <v>52</v>
      </c>
      <c r="J2">
        <v>28</v>
      </c>
      <c r="K2">
        <v>27</v>
      </c>
      <c r="L2">
        <v>12</v>
      </c>
    </row>
    <row r="3" spans="1:12" x14ac:dyDescent="0.2">
      <c r="A3" t="s">
        <v>13</v>
      </c>
      <c r="B3">
        <v>13</v>
      </c>
      <c r="C3">
        <v>19</v>
      </c>
      <c r="D3">
        <v>15</v>
      </c>
      <c r="E3">
        <v>19</v>
      </c>
      <c r="F3">
        <v>9</v>
      </c>
      <c r="G3">
        <v>23</v>
      </c>
      <c r="H3">
        <v>4</v>
      </c>
      <c r="I3">
        <v>29</v>
      </c>
      <c r="J3">
        <v>18</v>
      </c>
      <c r="K3">
        <v>20</v>
      </c>
      <c r="L3">
        <v>11</v>
      </c>
    </row>
    <row r="4" spans="1:12" x14ac:dyDescent="0.2">
      <c r="A4" t="s">
        <v>14</v>
      </c>
      <c r="B4">
        <v>11</v>
      </c>
      <c r="C4">
        <v>11</v>
      </c>
      <c r="D4">
        <v>11</v>
      </c>
      <c r="E4">
        <v>8</v>
      </c>
      <c r="F4">
        <v>5</v>
      </c>
      <c r="G4">
        <v>8</v>
      </c>
      <c r="H4">
        <v>7</v>
      </c>
      <c r="I4">
        <v>7</v>
      </c>
      <c r="J4">
        <v>12</v>
      </c>
      <c r="K4">
        <v>15</v>
      </c>
      <c r="L4">
        <v>10</v>
      </c>
    </row>
    <row r="5" spans="1:12" x14ac:dyDescent="0.2">
      <c r="A5" t="s">
        <v>15</v>
      </c>
      <c r="B5">
        <v>24</v>
      </c>
      <c r="C5">
        <v>10</v>
      </c>
      <c r="D5">
        <v>19</v>
      </c>
      <c r="E5">
        <v>12</v>
      </c>
      <c r="F5">
        <v>18</v>
      </c>
      <c r="G5">
        <v>7</v>
      </c>
      <c r="H5">
        <v>28</v>
      </c>
      <c r="I5">
        <v>2</v>
      </c>
      <c r="J5">
        <v>12</v>
      </c>
      <c r="K5">
        <v>15</v>
      </c>
      <c r="L5">
        <v>15</v>
      </c>
    </row>
    <row r="6" spans="1:12" x14ac:dyDescent="0.2">
      <c r="A6" t="s">
        <v>16</v>
      </c>
      <c r="B6">
        <v>24</v>
      </c>
      <c r="C6">
        <v>27</v>
      </c>
      <c r="D6">
        <v>28</v>
      </c>
      <c r="E6">
        <v>20</v>
      </c>
      <c r="F6">
        <v>0</v>
      </c>
      <c r="G6">
        <v>13</v>
      </c>
      <c r="H6">
        <v>46</v>
      </c>
      <c r="I6">
        <v>5</v>
      </c>
      <c r="J6">
        <v>18</v>
      </c>
      <c r="K6">
        <v>13</v>
      </c>
      <c r="L6">
        <v>32</v>
      </c>
    </row>
    <row r="7" spans="1:12" x14ac:dyDescent="0.2">
      <c r="A7" t="s">
        <v>17</v>
      </c>
      <c r="B7">
        <v>18</v>
      </c>
      <c r="C7">
        <v>11</v>
      </c>
      <c r="D7">
        <v>15</v>
      </c>
      <c r="E7">
        <v>15</v>
      </c>
      <c r="F7">
        <v>13</v>
      </c>
      <c r="G7">
        <v>1</v>
      </c>
      <c r="H7">
        <v>11</v>
      </c>
      <c r="I7">
        <v>5</v>
      </c>
      <c r="J7">
        <v>12</v>
      </c>
      <c r="K7">
        <v>10</v>
      </c>
      <c r="L7">
        <v>20</v>
      </c>
    </row>
    <row r="8" spans="1:12" x14ac:dyDescent="0.2">
      <c r="A8" t="s">
        <v>18</v>
      </c>
      <c r="B8">
        <v>985</v>
      </c>
      <c r="C8">
        <v>173</v>
      </c>
      <c r="D8">
        <v>330</v>
      </c>
      <c r="E8">
        <v>270</v>
      </c>
      <c r="F8">
        <v>22</v>
      </c>
      <c r="G8">
        <v>72</v>
      </c>
      <c r="H8">
        <v>28</v>
      </c>
      <c r="I8">
        <v>59</v>
      </c>
      <c r="J8">
        <v>120</v>
      </c>
      <c r="K8">
        <v>67</v>
      </c>
      <c r="L8">
        <v>123</v>
      </c>
    </row>
    <row r="10" spans="1:12" s="1" customFormat="1" x14ac:dyDescent="0.2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</row>
    <row r="11" spans="1:12" x14ac:dyDescent="0.2">
      <c r="A11" t="s">
        <v>12</v>
      </c>
      <c r="B11">
        <f>B2/100*B$8</f>
        <v>98.5</v>
      </c>
      <c r="C11">
        <f t="shared" ref="C11:L11" si="0">C2/100*C$8</f>
        <v>38.06</v>
      </c>
      <c r="D11">
        <f t="shared" si="0"/>
        <v>39.6</v>
      </c>
      <c r="E11">
        <f t="shared" si="0"/>
        <v>70.2</v>
      </c>
      <c r="F11">
        <f t="shared" si="0"/>
        <v>12.100000000000001</v>
      </c>
      <c r="G11">
        <f t="shared" si="0"/>
        <v>34.56</v>
      </c>
      <c r="H11">
        <f t="shared" si="0"/>
        <v>1.1200000000000001</v>
      </c>
      <c r="I11">
        <f t="shared" si="0"/>
        <v>30.68</v>
      </c>
      <c r="J11">
        <f t="shared" si="0"/>
        <v>33.6</v>
      </c>
      <c r="K11">
        <f t="shared" si="0"/>
        <v>18.09</v>
      </c>
      <c r="L11">
        <f t="shared" si="0"/>
        <v>14.76</v>
      </c>
    </row>
    <row r="12" spans="1:12" x14ac:dyDescent="0.2">
      <c r="A12" t="s">
        <v>13</v>
      </c>
      <c r="B12">
        <f t="shared" ref="B12:L16" si="1">B3/100*B$8</f>
        <v>128.05000000000001</v>
      </c>
      <c r="C12">
        <f t="shared" si="1"/>
        <v>32.869999999999997</v>
      </c>
      <c r="D12">
        <f t="shared" si="1"/>
        <v>49.5</v>
      </c>
      <c r="E12">
        <f t="shared" si="1"/>
        <v>51.3</v>
      </c>
      <c r="F12">
        <f t="shared" si="1"/>
        <v>1.98</v>
      </c>
      <c r="G12">
        <f t="shared" si="1"/>
        <v>16.560000000000002</v>
      </c>
      <c r="H12">
        <f t="shared" si="1"/>
        <v>1.1200000000000001</v>
      </c>
      <c r="I12">
        <f t="shared" si="1"/>
        <v>17.11</v>
      </c>
      <c r="J12">
        <f t="shared" si="1"/>
        <v>21.599999999999998</v>
      </c>
      <c r="K12">
        <f t="shared" si="1"/>
        <v>13.4</v>
      </c>
      <c r="L12">
        <f t="shared" si="1"/>
        <v>13.53</v>
      </c>
    </row>
    <row r="13" spans="1:12" x14ac:dyDescent="0.2">
      <c r="A13" t="s">
        <v>14</v>
      </c>
      <c r="B13">
        <f t="shared" si="1"/>
        <v>108.35</v>
      </c>
      <c r="C13">
        <f t="shared" si="1"/>
        <v>19.03</v>
      </c>
      <c r="D13">
        <f t="shared" si="1"/>
        <v>36.299999999999997</v>
      </c>
      <c r="E13">
        <f t="shared" si="1"/>
        <v>21.6</v>
      </c>
      <c r="F13">
        <f t="shared" si="1"/>
        <v>1.1000000000000001</v>
      </c>
      <c r="G13">
        <f t="shared" si="1"/>
        <v>5.76</v>
      </c>
      <c r="H13">
        <f t="shared" si="1"/>
        <v>1.9600000000000002</v>
      </c>
      <c r="I13">
        <f t="shared" si="1"/>
        <v>4.1300000000000008</v>
      </c>
      <c r="J13">
        <f t="shared" si="1"/>
        <v>14.399999999999999</v>
      </c>
      <c r="K13">
        <f t="shared" si="1"/>
        <v>10.049999999999999</v>
      </c>
      <c r="L13">
        <f t="shared" si="1"/>
        <v>12.3</v>
      </c>
    </row>
    <row r="14" spans="1:12" x14ac:dyDescent="0.2">
      <c r="A14" t="s">
        <v>15</v>
      </c>
      <c r="B14">
        <f t="shared" si="1"/>
        <v>236.39999999999998</v>
      </c>
      <c r="C14">
        <f t="shared" si="1"/>
        <v>17.3</v>
      </c>
      <c r="D14">
        <f t="shared" si="1"/>
        <v>62.7</v>
      </c>
      <c r="E14">
        <f t="shared" si="1"/>
        <v>32.4</v>
      </c>
      <c r="F14">
        <f t="shared" si="1"/>
        <v>3.96</v>
      </c>
      <c r="G14">
        <f t="shared" si="1"/>
        <v>5.0400000000000009</v>
      </c>
      <c r="H14">
        <f t="shared" si="1"/>
        <v>7.8400000000000007</v>
      </c>
      <c r="I14">
        <f t="shared" si="1"/>
        <v>1.18</v>
      </c>
      <c r="J14">
        <f t="shared" si="1"/>
        <v>14.399999999999999</v>
      </c>
      <c r="K14">
        <f t="shared" si="1"/>
        <v>10.049999999999999</v>
      </c>
      <c r="L14">
        <f t="shared" si="1"/>
        <v>18.45</v>
      </c>
    </row>
    <row r="15" spans="1:12" x14ac:dyDescent="0.2">
      <c r="A15" t="s">
        <v>16</v>
      </c>
      <c r="B15">
        <f t="shared" si="1"/>
        <v>236.39999999999998</v>
      </c>
      <c r="C15">
        <f t="shared" si="1"/>
        <v>46.71</v>
      </c>
      <c r="D15">
        <f t="shared" si="1"/>
        <v>92.4</v>
      </c>
      <c r="E15">
        <f t="shared" si="1"/>
        <v>54</v>
      </c>
      <c r="F15">
        <f t="shared" si="1"/>
        <v>0</v>
      </c>
      <c r="G15">
        <f t="shared" si="1"/>
        <v>9.36</v>
      </c>
      <c r="H15">
        <f t="shared" si="1"/>
        <v>12.88</v>
      </c>
      <c r="I15">
        <f t="shared" si="1"/>
        <v>2.95</v>
      </c>
      <c r="J15">
        <f t="shared" si="1"/>
        <v>21.599999999999998</v>
      </c>
      <c r="K15">
        <f t="shared" si="1"/>
        <v>8.7100000000000009</v>
      </c>
      <c r="L15">
        <f t="shared" si="1"/>
        <v>39.36</v>
      </c>
    </row>
    <row r="16" spans="1:12" x14ac:dyDescent="0.2">
      <c r="A16" t="s">
        <v>17</v>
      </c>
      <c r="B16">
        <f t="shared" si="1"/>
        <v>177.29999999999998</v>
      </c>
      <c r="C16">
        <f t="shared" si="1"/>
        <v>19.03</v>
      </c>
      <c r="D16">
        <f t="shared" si="1"/>
        <v>49.5</v>
      </c>
      <c r="E16">
        <f t="shared" si="1"/>
        <v>40.5</v>
      </c>
      <c r="F16">
        <f t="shared" si="1"/>
        <v>2.8600000000000003</v>
      </c>
      <c r="G16">
        <f t="shared" si="1"/>
        <v>0.72</v>
      </c>
      <c r="H16">
        <f t="shared" si="1"/>
        <v>3.08</v>
      </c>
      <c r="I16">
        <f t="shared" si="1"/>
        <v>2.95</v>
      </c>
      <c r="J16">
        <f t="shared" si="1"/>
        <v>14.399999999999999</v>
      </c>
      <c r="K16">
        <f t="shared" si="1"/>
        <v>6.7</v>
      </c>
      <c r="L16">
        <f t="shared" si="1"/>
        <v>24.6</v>
      </c>
    </row>
    <row r="17" spans="1:12" x14ac:dyDescent="0.2">
      <c r="A17" t="s">
        <v>18</v>
      </c>
      <c r="B17">
        <f>SUM(B11:B16)</f>
        <v>984.99999999999989</v>
      </c>
      <c r="C17">
        <f t="shared" ref="C17:L17" si="2">SUM(C11:C16)</f>
        <v>173</v>
      </c>
      <c r="D17">
        <f t="shared" si="2"/>
        <v>330</v>
      </c>
      <c r="E17">
        <f t="shared" si="2"/>
        <v>270</v>
      </c>
      <c r="F17">
        <f t="shared" si="2"/>
        <v>22</v>
      </c>
      <c r="G17">
        <f t="shared" si="2"/>
        <v>72</v>
      </c>
      <c r="H17">
        <f t="shared" si="2"/>
        <v>28</v>
      </c>
      <c r="I17">
        <f t="shared" si="2"/>
        <v>59.000000000000007</v>
      </c>
      <c r="J17">
        <f t="shared" si="2"/>
        <v>120</v>
      </c>
      <c r="K17">
        <f t="shared" si="2"/>
        <v>67</v>
      </c>
      <c r="L17">
        <f t="shared" si="2"/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Oberman, H.I. (Hanne)</dc:creator>
  <cp:lastModifiedBy>Oberman, H.I. (Hanne)</cp:lastModifiedBy>
  <dcterms:created xsi:type="dcterms:W3CDTF">2026-02-17T13:27:58Z</dcterms:created>
  <dcterms:modified xsi:type="dcterms:W3CDTF">2026-02-18T19:03:29Z</dcterms:modified>
</cp:coreProperties>
</file>